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RE">'RELEVANCIA-PUNTAJE'!$A$4</definedName>
    <definedName name="MR_NL">'RELEVANCIA-PUNTAJE'!$E$3</definedName>
    <definedName name="PR_NL">'RELEVANCIA-PUNTAJE'!$E$5</definedName>
    <definedName name="PR">'RELEVANCIA-PUNTAJE'!$A$5</definedName>
    <definedName name="MR_ML">'RELEVANCIA-PUNTAJE'!$D$3</definedName>
    <definedName name="PR_ML">'RELEVANCIA-PUNTAJE'!$D$5</definedName>
    <definedName name="MR">'RELEVANCIA-PUNTAJE'!$A$3</definedName>
    <definedName name="TL">'RELEVANCIA-PUNTAJE'!$B$2</definedName>
    <definedName name="CL">'RELEVANCIA-PUNTAJE'!$B$2</definedName>
    <definedName name="MR_L">'RELEVANCIA-PUNTAJE'!$C$3</definedName>
    <definedName name="PR_TL">'RELEVANCIA-PUNTAJE'!$B$5</definedName>
    <definedName name="RE_NL">'RELEVANCIA-PUNTAJE'!$E$4</definedName>
    <definedName name="RE_TL">'RELEVANCIA-PUNTAJE'!$B$4</definedName>
    <definedName name="L">'RELEVANCIA-PUNTAJE'!$C$2</definedName>
    <definedName name="NL">'RELEVANCIA-PUNTAJE'!$E$2</definedName>
    <definedName name="RE_ML">'RELEVANCIA-PUNTAJE'!$D$4</definedName>
    <definedName name="MR_CL">'RELEVANCIA-PUNTAJE'!$B$3</definedName>
    <definedName name="MR_TL">'RELEVANCIA-PUNTAJE'!$B$3</definedName>
    <definedName name="ML">'RELEVANCIA-PUNTAJE'!$D$2</definedName>
  </definedNames>
  <calcPr/>
</workbook>
</file>

<file path=xl/sharedStrings.xml><?xml version="1.0" encoding="utf-8"?>
<sst xmlns="http://schemas.openxmlformats.org/spreadsheetml/2006/main" count="154" uniqueCount="95">
  <si>
    <t>Puntaje</t>
  </si>
  <si>
    <t>PUNTOS</t>
  </si>
  <si>
    <t>Indicador de Evaluación</t>
  </si>
  <si>
    <t>Nota</t>
  </si>
  <si>
    <t>NOTA</t>
  </si>
  <si>
    <t>Categorías de Respuesta</t>
  </si>
  <si>
    <t>INTEGRANTES</t>
  </si>
  <si>
    <t xml:space="preserve">IEP o IEE: </t>
  </si>
  <si>
    <t>EMPLEAB</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</si>
  <si>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</si>
  <si>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</si>
  <si>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</si>
  <si>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</si>
  <si>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</si>
  <si>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</si>
  <si>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</si>
  <si>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</si>
  <si>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</si>
  <si>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</si>
  <si>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</si>
  <si>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</si>
  <si>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</si>
  <si>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</si>
  <si>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</si>
  <si>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GRUPAL</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</si>
  <si>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</si>
  <si>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</si>
  <si>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</si>
  <si>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</si>
  <si>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</si>
  <si>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Nivel de Logro</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</si>
  <si>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</si>
  <si>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</si>
  <si>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</si>
  <si>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</si>
  <si>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</si>
  <si>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</si>
  <si>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</si>
  <si>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NIVELES DE LOGRO Y PUNTAJES</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</si>
  <si>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</si>
  <si>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</si>
  <si>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</si>
  <si>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</si>
  <si>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</si>
  <si>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</si>
  <si>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</si>
  <si>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</si>
  <si>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</si>
  <si>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</si>
  <si>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</si>
  <si>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</si>
  <si>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</si>
  <si>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Aspectos a Evaluar</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</si>
  <si>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</si>
  <si>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</si>
  <si>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</si>
  <si>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</si>
  <si>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</si>
  <si>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Completamente logrado</t>
  </si>
  <si>
    <t xml:space="preserve">9. Utiliza reglas de redacción, ortografía (literal, puntual, acentual) y las normas para citas y referencias. </t>
  </si>
  <si>
    <t>Logrado</t>
  </si>
  <si>
    <t>El texto cumple con las reglas ortografía y de redacción en todos sus apartados y utiliza correctamente todas las normas de citación y referencias.</t>
  </si>
  <si>
    <t>Logro Incipiente</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</si>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</sst>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left style="thin">
        <color rgb="FF000000"/>
      </left>
      <right style="thin">
        <color rgb="FF000000"/>
      </right>
      <bottom style="thin">
        <color rgb="FF000000"/>
      </bottom>
    </border>
    <border>
      <right style="medium">
        <color rgb="FF7F7F7F"/>
      </right>
      <top style="medium">
        <color rgb="FF7F7F7F"/>
      </top>
      <bottom style="medium">
        <color rgb="FF7F7F7F"/>
      </bottom>
    </border>
    <border>
      <left style="thin">
        <color rgb="FF000000"/>
      </left>
      <top style="thin">
        <color rgb="FF000000"/>
      </top>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Alignment="1" applyFont="1" applyNumberFormat="1">
      <alignment horizontal="right"/>
    </xf>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0" fillId="0" fontId="2" numFmtId="164" xfId="0" applyFont="1" applyNumberFormat="1"/>
    <xf borderId="0" fillId="0" fontId="4" numFmtId="0" xfId="0" applyFont="1"/>
    <xf borderId="4" fillId="3" fontId="3"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5" fillId="0" fontId="5" numFmtId="0" xfId="0" applyBorder="1" applyFont="1"/>
    <xf borderId="6" fillId="0" fontId="5" numFmtId="0" xfId="0" applyBorder="1" applyFont="1"/>
    <xf borderId="0" fillId="0" fontId="2" numFmtId="0" xfId="0" applyAlignment="1" applyFont="1">
      <alignment horizontal="right" vertical="center"/>
    </xf>
    <xf borderId="7" fillId="0" fontId="5" numFmtId="0" xfId="0" applyBorder="1" applyFont="1"/>
    <xf borderId="8" fillId="0" fontId="2" numFmtId="0" xfId="0" applyAlignment="1" applyBorder="1" applyFont="1">
      <alignment horizontal="left"/>
    </xf>
    <xf borderId="9" fillId="0" fontId="5" numFmtId="0" xfId="0" applyBorder="1" applyFont="1"/>
    <xf borderId="2" fillId="3" fontId="6" numFmtId="0" xfId="0" applyAlignment="1" applyBorder="1" applyFont="1">
      <alignment horizontal="center" shrinkToFit="0" vertical="center" wrapText="1"/>
    </xf>
    <xf borderId="1" fillId="2" fontId="2" numFmtId="164" xfId="0" applyAlignment="1" applyBorder="1" applyFont="1" applyNumberFormat="1">
      <alignment horizontal="center"/>
    </xf>
    <xf borderId="10" fillId="3" fontId="6" numFmtId="0" xfId="0" applyAlignment="1" applyBorder="1" applyFont="1">
      <alignment horizontal="center" shrinkToFit="0" vertical="center" wrapText="1"/>
    </xf>
    <xf borderId="10" fillId="3" fontId="3" numFmtId="0" xfId="0" applyAlignment="1" applyBorder="1" applyFont="1">
      <alignment horizontal="center" shrinkToFit="0" vertical="center" wrapText="1"/>
    </xf>
    <xf borderId="11" fillId="0" fontId="5" numFmtId="0" xfId="0" applyBorder="1" applyFont="1"/>
    <xf borderId="1" fillId="4" fontId="2" numFmtId="164" xfId="0" applyAlignment="1" applyBorder="1" applyFont="1" applyNumberFormat="1">
      <alignment horizontal="center"/>
    </xf>
    <xf borderId="12" fillId="3" fontId="3" numFmtId="9" xfId="0" applyAlignment="1" applyBorder="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3" fillId="5" fontId="9" numFmtId="0" xfId="0" applyAlignment="1" applyBorder="1" applyFill="1" applyFont="1">
      <alignment horizontal="center" textRotation="255" vertical="center"/>
    </xf>
    <xf borderId="1" fillId="6" fontId="10" numFmtId="0" xfId="0" applyAlignment="1" applyBorder="1" applyFill="1" applyFont="1">
      <alignment horizontal="center" vertical="center"/>
    </xf>
    <xf borderId="15" fillId="0" fontId="8" numFmtId="0" xfId="0" applyAlignment="1" applyBorder="1" applyFont="1">
      <alignment horizontal="center" shrinkToFit="0" vertical="center" wrapText="1"/>
    </xf>
    <xf borderId="3" fillId="6" fontId="11" numFmtId="0" xfId="0" applyAlignment="1" applyBorder="1" applyFont="1">
      <alignment horizontal="center" vertical="center"/>
    </xf>
    <xf borderId="8" fillId="6" fontId="11" numFmtId="0" xfId="0" applyAlignment="1" applyBorder="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1" numFmtId="0" xfId="0" applyAlignment="1" applyBorder="1" applyFont="1">
      <alignment horizontal="center" vertical="center"/>
    </xf>
    <xf borderId="9"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0" fontId="12" numFmtId="0" xfId="0" applyAlignment="1" applyBorder="1" applyFont="1">
      <alignment horizontal="left" shrinkToFit="0" vertical="center" wrapText="1"/>
    </xf>
    <xf borderId="4" fillId="0" fontId="8" numFmtId="0" xfId="0" applyAlignment="1" applyBorder="1" applyFont="1">
      <alignment horizontal="right" shrinkToFit="0" vertical="center" wrapText="1"/>
    </xf>
    <xf borderId="17" fillId="0" fontId="7" numFmtId="0" xfId="0" applyAlignment="1" applyBorder="1" applyFont="1">
      <alignment horizontal="left" vertical="center"/>
    </xf>
    <xf borderId="13" fillId="0" fontId="8" numFmtId="9" xfId="0" applyAlignment="1" applyBorder="1" applyFont="1" applyNumberFormat="1">
      <alignment horizontal="center" shrinkToFit="0" vertical="center" wrapText="1"/>
    </xf>
    <xf borderId="1" fillId="0" fontId="7" numFmtId="0" xfId="0" applyAlignment="1" applyBorder="1" applyFont="1">
      <alignment horizontal="center" vertical="center"/>
    </xf>
    <xf borderId="20" fillId="6" fontId="4" numFmtId="0" xfId="0" applyAlignment="1" applyBorder="1" applyFont="1">
      <alignment horizontal="left" shrinkToFit="0" vertical="center" wrapText="1"/>
    </xf>
    <xf borderId="21" fillId="6" fontId="4" numFmtId="0" xfId="0" applyAlignment="1" applyBorder="1" applyFont="1">
      <alignment shrinkToFit="0" vertical="center" wrapText="1"/>
    </xf>
    <xf borderId="22" fillId="6" fontId="4" numFmtId="0" xfId="0" applyAlignment="1" applyBorder="1" applyFont="1">
      <alignment shrinkToFit="0" vertical="center" wrapText="1"/>
    </xf>
    <xf borderId="23" fillId="6" fontId="4" numFmtId="0" xfId="0" applyAlignment="1" applyBorder="1" applyFont="1">
      <alignment shrinkToFit="0" vertical="center" wrapText="1"/>
    </xf>
    <xf borderId="24" fillId="0" fontId="5" numFmtId="0" xfId="0" applyBorder="1" applyFont="1"/>
    <xf borderId="25" fillId="6" fontId="4" numFmtId="0" xfId="0" applyAlignment="1" applyBorder="1" applyFont="1">
      <alignment shrinkToFit="0" vertical="center" wrapText="1"/>
    </xf>
    <xf borderId="26" fillId="6" fontId="4" numFmtId="0" xfId="0" applyAlignment="1" applyBorder="1" applyFont="1">
      <alignment shrinkToFit="0" vertical="center" wrapText="1"/>
    </xf>
    <xf borderId="27" fillId="6" fontId="4" numFmtId="0" xfId="0" applyAlignment="1" applyBorder="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6"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8" fillId="0" fontId="12" numFmtId="0" xfId="0" applyAlignment="1" applyBorder="1" applyFont="1">
      <alignment horizontal="right" shrinkToFit="0" vertical="center" wrapText="1"/>
    </xf>
    <xf borderId="1"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1" numFmtId="0" xfId="0" applyAlignment="1" applyBorder="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7" t="s">
        <v>6</v>
      </c>
      <c r="C3" s="9" t="s">
        <v>7</v>
      </c>
      <c r="D3" s="2" t="s">
        <v>8</v>
      </c>
      <c r="E3" s="11"/>
    </row>
    <row r="4">
      <c r="A4" s="12">
        <v>1.0</v>
      </c>
      <c r="B4" s="14"/>
      <c r="C4" s="17">
        <f>EVALUACION1!$C$24</f>
        <v>7</v>
      </c>
      <c r="D4" s="17">
        <f>$C$35</f>
        <v>7</v>
      </c>
      <c r="E4" s="21">
        <f t="shared" ref="E4:E6" si="1">C4*C$2+D4*D$2</f>
        <v>7</v>
      </c>
      <c r="G4" s="6"/>
    </row>
    <row r="5">
      <c r="A5" s="12">
        <v>2.0</v>
      </c>
      <c r="B5" s="14"/>
      <c r="C5" s="17">
        <f>EVALUACION1!$C$24</f>
        <v>7</v>
      </c>
      <c r="D5" s="17">
        <f>C47</f>
        <v>7</v>
      </c>
      <c r="E5" s="21">
        <f t="shared" si="1"/>
        <v>7</v>
      </c>
      <c r="G5" s="6"/>
    </row>
    <row r="6">
      <c r="A6" s="12">
        <v>3.0</v>
      </c>
      <c r="B6" s="14"/>
      <c r="C6" s="17">
        <f>EVALUACION1!$C$24</f>
        <v>7</v>
      </c>
      <c r="D6" s="17">
        <f>C58</f>
        <v>7</v>
      </c>
      <c r="E6" s="21">
        <f t="shared" si="1"/>
        <v>7</v>
      </c>
      <c r="G6" s="6"/>
    </row>
    <row r="11" outlineLevel="1">
      <c r="A11" s="30" t="s">
        <v>24</v>
      </c>
      <c r="B11" s="31"/>
      <c r="C11" s="33" t="s">
        <v>30</v>
      </c>
      <c r="D11" s="34" t="s">
        <v>38</v>
      </c>
      <c r="E11" s="35"/>
      <c r="F11" s="35"/>
      <c r="G11" s="35"/>
      <c r="H11" s="35"/>
      <c r="I11" s="35"/>
      <c r="J11" s="35"/>
      <c r="K11" s="36"/>
    </row>
    <row r="12" outlineLevel="1">
      <c r="A12" s="37"/>
      <c r="B12" s="38" t="s">
        <v>52</v>
      </c>
      <c r="C12" s="11"/>
      <c r="D12" s="34" t="s">
        <v>58</v>
      </c>
      <c r="E12" s="36"/>
      <c r="F12" s="34" t="s">
        <v>60</v>
      </c>
      <c r="G12" s="36"/>
      <c r="H12" s="34" t="s">
        <v>62</v>
      </c>
      <c r="I12" s="36"/>
      <c r="J12" s="34" t="s">
        <v>13</v>
      </c>
      <c r="K12" s="36"/>
    </row>
    <row r="13" outlineLevel="1">
      <c r="A13" s="37"/>
      <c r="B13" s="42" t="str">
        <f>RUBRICA!A5</f>
        <v>1. Describe brevemente en qué consiste el Proyecto APT, justificando su relevancia para el campo laboral de su carrera.</v>
      </c>
      <c r="C13" s="44" t="s">
        <v>58</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37"/>
      <c r="B14" s="42" t="str">
        <f>RUBRICA!A6</f>
        <v>2. Relaciona el Proyecto APT con las competencias del perfil de egreso de su Plan de Estudio.</v>
      </c>
      <c r="C14" s="44" t="s">
        <v>58</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37"/>
      <c r="B15" s="42" t="str">
        <f>RUBRICA!A8</f>
        <v>4.  Argumenta por qué el proyecto es factible de realizarse en el marco de la asignatura. </v>
      </c>
      <c r="C15" s="44" t="s">
        <v>58</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37"/>
      <c r="B16" s="42" t="str">
        <f>RUBRICA!A9</f>
        <v>5. Formula objetivos claros, concisos y coherentes con la disciplina y la situación a abordar. </v>
      </c>
      <c r="C16" s="44" t="s">
        <v>58</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37"/>
      <c r="B17" s="42" t="str">
        <f>RUBRICA!A10</f>
        <v>6. Propone una metodología de trabajo que permite alcanzar los objetivos propuestos y es pertinente con los requerimientos disciplinares.</v>
      </c>
      <c r="C17" s="44" t="s">
        <v>58</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37"/>
      <c r="B18" s="42" t="str">
        <f>RUBRICA!A11</f>
        <v>7. Establece un plan de trabajo para su proyecto APT considerando los recursos, duración, facilitadores y obstaculizadores en el desarrollo de las actividades. </v>
      </c>
      <c r="C18" s="44" t="s">
        <v>58</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37"/>
      <c r="B19" s="42" t="str">
        <f>RUBRICA!A12</f>
        <v>8. Determina evidencias, justificando cómo estas dan cuenta del logro de las actividades del Proyecto APT.</v>
      </c>
      <c r="C19" s="44" t="s">
        <v>58</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37"/>
      <c r="B20" s="42" t="str">
        <f>RUBRICA!A13</f>
        <v>9. Utiliza reglas de redacción, ortografía (literal, puntual, acentual) y las normas para citas y referencias. </v>
      </c>
      <c r="C20" s="44" t="s">
        <v>58</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37"/>
      <c r="B21" s="42" t="str">
        <f>RUBRICA!A14</f>
        <v>10. Cumple completando el contenido del informe de presentación del proyecto de acuerdo con la plantilla entregada.</v>
      </c>
      <c r="C21" s="44" t="s">
        <v>58</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37"/>
      <c r="B22" s="42" t="str">
        <f>RUBRICA!A16</f>
        <v>12. Desarrolla un plan de trabajo que permita del logro de los objetivos propuestos del proyecto de 
acuerdo a los tiempos para su desarrollo</v>
      </c>
      <c r="C22" s="44" t="s">
        <v>58</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37"/>
      <c r="B23" s="57" t="s">
        <v>0</v>
      </c>
      <c r="C23" s="58">
        <f>E23+G23+I23+K23</f>
        <v>70</v>
      </c>
      <c r="D23" s="59"/>
      <c r="E23" s="59">
        <f>SUM(E13:E22)</f>
        <v>70</v>
      </c>
      <c r="F23" s="59"/>
      <c r="G23" s="59">
        <f>SUM(G13:G22)</f>
        <v>0</v>
      </c>
      <c r="H23" s="59"/>
      <c r="I23" s="59">
        <f>SUM(I13:I22)</f>
        <v>0</v>
      </c>
      <c r="J23" s="59"/>
      <c r="K23" s="59">
        <f>SUM(K13:K22)</f>
        <v>0</v>
      </c>
    </row>
    <row r="24" ht="15.75" customHeight="1" outlineLevel="1">
      <c r="A24" s="11"/>
      <c r="B24" s="60" t="s">
        <v>3</v>
      </c>
      <c r="C24" s="61">
        <f>VLOOKUP(C23,ESCALA_IEP!A2:B142,2,FALSE)</f>
        <v>7</v>
      </c>
    </row>
    <row r="25" ht="15.75" customHeight="1"/>
    <row r="26" ht="15.75" customHeight="1"/>
    <row r="27" ht="15.75" customHeight="1">
      <c r="A27" s="62" t="s">
        <v>90</v>
      </c>
      <c r="B27" s="63" t="s">
        <v>91</v>
      </c>
      <c r="C27" s="64" t="str">
        <f>$B$4</f>
        <v/>
      </c>
      <c r="D27" s="65"/>
      <c r="E27" s="65"/>
      <c r="F27" s="65"/>
      <c r="G27" s="65"/>
      <c r="H27" s="65"/>
      <c r="I27" s="65"/>
      <c r="J27" s="65"/>
      <c r="K27" s="66"/>
    </row>
    <row r="28" ht="15.75" customHeight="1">
      <c r="A28" s="37"/>
      <c r="B28" s="11"/>
      <c r="C28" s="67"/>
      <c r="D28" s="68"/>
      <c r="E28" s="68"/>
      <c r="F28" s="68"/>
      <c r="G28" s="68"/>
      <c r="H28" s="68"/>
      <c r="I28" s="68"/>
      <c r="J28" s="68"/>
      <c r="K28" s="69"/>
    </row>
    <row r="29" ht="15.75" customHeight="1">
      <c r="A29" s="37"/>
      <c r="B29" s="31" t="s">
        <v>92</v>
      </c>
      <c r="C29" s="33" t="s">
        <v>30</v>
      </c>
      <c r="D29" s="34" t="s">
        <v>38</v>
      </c>
      <c r="E29" s="35"/>
      <c r="F29" s="35"/>
      <c r="G29" s="35"/>
      <c r="H29" s="35"/>
      <c r="I29" s="35"/>
      <c r="J29" s="35"/>
      <c r="K29" s="36"/>
    </row>
    <row r="30" ht="15.75" customHeight="1">
      <c r="A30" s="37"/>
      <c r="B30" s="70" t="s">
        <v>52</v>
      </c>
      <c r="C30" s="11"/>
      <c r="D30" s="34" t="s">
        <v>58</v>
      </c>
      <c r="E30" s="36"/>
      <c r="F30" s="34" t="s">
        <v>60</v>
      </c>
      <c r="G30" s="36"/>
      <c r="H30" s="34" t="s">
        <v>93</v>
      </c>
      <c r="I30" s="36"/>
      <c r="J30" s="34" t="s">
        <v>13</v>
      </c>
      <c r="K30" s="36"/>
    </row>
    <row r="31" ht="24.0" customHeight="1">
      <c r="A31" s="37"/>
      <c r="B31" s="42" t="str">
        <f>RUBRICA!A7</f>
        <v>3. Relaciona el Proyecto APT con sus intereses profesionales. *</v>
      </c>
      <c r="C31" s="44" t="s">
        <v>58</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37"/>
      <c r="B32" s="42" t="str">
        <f>RUBRICA!A15</f>
        <v>11. Expone el tema utilizando un lenguaje técnico disciplinar al presentar la propuesta y responde evidenciando un manejo de la información. *</v>
      </c>
      <c r="C32" s="44" t="s">
        <v>58</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37"/>
      <c r="B33" s="42" t="str">
        <f>RUBRICA!A17</f>
        <v>13. Colaboración y trabajo en equipo *</v>
      </c>
      <c r="C33" s="44" t="s">
        <v>58</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37"/>
      <c r="B34" s="71" t="s">
        <v>94</v>
      </c>
      <c r="C34" s="72">
        <f>E34+G34+I34+K34</f>
        <v>30</v>
      </c>
      <c r="D34" s="59"/>
      <c r="E34" s="59">
        <f>SUM(E31:E33)</f>
        <v>30</v>
      </c>
      <c r="F34" s="59"/>
      <c r="G34" s="59">
        <f>SUM(G31:G33)</f>
        <v>0</v>
      </c>
      <c r="H34" s="59"/>
      <c r="I34" s="59">
        <f>SUM(I31:I33)</f>
        <v>0</v>
      </c>
      <c r="J34" s="59"/>
      <c r="K34" s="59">
        <f>SUM(K31:K33)</f>
        <v>0</v>
      </c>
    </row>
    <row r="35" ht="15.75" customHeight="1">
      <c r="A35" s="11"/>
      <c r="B35" s="73" t="s">
        <v>3</v>
      </c>
      <c r="C35" s="61">
        <f>VLOOKUP(C34,ESCALA_TRAB_EQUIP!A2:B62,2,FALSE)</f>
        <v>7</v>
      </c>
    </row>
    <row r="36" ht="15.75" customHeight="1">
      <c r="B36" s="74"/>
      <c r="C36" s="75"/>
    </row>
    <row r="37" ht="15.75" customHeight="1">
      <c r="B37" s="74"/>
      <c r="C37" s="75"/>
    </row>
    <row r="38" ht="15.75" customHeight="1"/>
    <row r="39" ht="15.75" customHeight="1">
      <c r="A39" s="62" t="s">
        <v>90</v>
      </c>
      <c r="B39" s="63" t="s">
        <v>91</v>
      </c>
      <c r="C39" s="64" t="str">
        <f>B5</f>
        <v/>
      </c>
      <c r="D39" s="65"/>
      <c r="E39" s="65"/>
      <c r="F39" s="65"/>
      <c r="G39" s="65"/>
      <c r="H39" s="65"/>
      <c r="I39" s="65"/>
      <c r="J39" s="65"/>
      <c r="K39" s="66"/>
    </row>
    <row r="40" ht="15.75" customHeight="1">
      <c r="A40" s="37"/>
      <c r="B40" s="11"/>
      <c r="C40" s="67"/>
      <c r="D40" s="68"/>
      <c r="E40" s="68"/>
      <c r="F40" s="68"/>
      <c r="G40" s="68"/>
      <c r="H40" s="68"/>
      <c r="I40" s="68"/>
      <c r="J40" s="68"/>
      <c r="K40" s="69"/>
    </row>
    <row r="41" ht="15.75" customHeight="1">
      <c r="A41" s="37"/>
      <c r="B41" s="31" t="s">
        <v>92</v>
      </c>
      <c r="C41" s="33" t="s">
        <v>30</v>
      </c>
      <c r="D41" s="34" t="s">
        <v>38</v>
      </c>
      <c r="E41" s="35"/>
      <c r="F41" s="35"/>
      <c r="G41" s="35"/>
      <c r="H41" s="35"/>
      <c r="I41" s="35"/>
      <c r="J41" s="35"/>
      <c r="K41" s="36"/>
    </row>
    <row r="42" ht="15.75" customHeight="1">
      <c r="A42" s="37"/>
      <c r="B42" s="70" t="s">
        <v>52</v>
      </c>
      <c r="C42" s="11"/>
      <c r="D42" s="34" t="s">
        <v>58</v>
      </c>
      <c r="E42" s="36"/>
      <c r="F42" s="34" t="s">
        <v>60</v>
      </c>
      <c r="G42" s="36"/>
      <c r="H42" s="34" t="s">
        <v>93</v>
      </c>
      <c r="I42" s="36"/>
      <c r="J42" s="34" t="s">
        <v>13</v>
      </c>
      <c r="K42" s="36"/>
    </row>
    <row r="43" ht="25.5" customHeight="1">
      <c r="A43" s="37"/>
      <c r="B43" s="42" t="str">
        <f>RUBRICA!A7</f>
        <v>3. Relaciona el Proyecto APT con sus intereses profesionales. *</v>
      </c>
      <c r="C43" s="44" t="s">
        <v>58</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37"/>
      <c r="B44" s="42" t="str">
        <f>RUBRICA!A15</f>
        <v>11. Expone el tema utilizando un lenguaje técnico disciplinar al presentar la propuesta y responde evidenciando un manejo de la información. *</v>
      </c>
      <c r="C44" s="44" t="s">
        <v>58</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37"/>
      <c r="B45" s="42" t="str">
        <f>RUBRICA!A17</f>
        <v>13. Colaboración y trabajo en equipo *</v>
      </c>
      <c r="C45" s="44" t="s">
        <v>58</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37"/>
      <c r="B46" s="71" t="s">
        <v>94</v>
      </c>
      <c r="C46" s="72">
        <f>E46+G46+I46+K46</f>
        <v>30</v>
      </c>
      <c r="D46" s="59"/>
      <c r="E46" s="59">
        <f>SUM(E43:E45)</f>
        <v>30</v>
      </c>
      <c r="F46" s="59"/>
      <c r="G46" s="59">
        <f>SUM(G43:G45)</f>
        <v>0</v>
      </c>
      <c r="H46" s="59"/>
      <c r="I46" s="59">
        <f>SUM(I43:I45)</f>
        <v>0</v>
      </c>
      <c r="J46" s="59"/>
      <c r="K46" s="59">
        <f>SUM(K43:K45)</f>
        <v>0</v>
      </c>
    </row>
    <row r="47" ht="15.75" customHeight="1">
      <c r="A47" s="11"/>
      <c r="B47" s="73" t="s">
        <v>3</v>
      </c>
      <c r="C47" s="61">
        <f>VLOOKUP(C46,ESCALA_TRAB_EQUIP!A2:B62,2,FALSE)</f>
        <v>7</v>
      </c>
    </row>
    <row r="48" ht="15.75" customHeight="1">
      <c r="B48" s="74"/>
      <c r="C48" s="75"/>
    </row>
    <row r="49" ht="15.75" customHeight="1">
      <c r="B49" s="74"/>
      <c r="C49" s="75"/>
    </row>
    <row r="50" ht="15.75" customHeight="1">
      <c r="A50" s="62" t="s">
        <v>90</v>
      </c>
      <c r="B50" s="63" t="s">
        <v>91</v>
      </c>
      <c r="C50" s="64" t="str">
        <f>B6</f>
        <v/>
      </c>
      <c r="D50" s="65"/>
      <c r="E50" s="65"/>
      <c r="F50" s="65"/>
      <c r="G50" s="65"/>
      <c r="H50" s="65"/>
      <c r="I50" s="65"/>
      <c r="J50" s="65"/>
      <c r="K50" s="66"/>
    </row>
    <row r="51" ht="15.75" customHeight="1">
      <c r="A51" s="37"/>
      <c r="B51" s="11"/>
      <c r="C51" s="67"/>
      <c r="D51" s="68"/>
      <c r="E51" s="68"/>
      <c r="F51" s="68"/>
      <c r="G51" s="68"/>
      <c r="H51" s="68"/>
      <c r="I51" s="68"/>
      <c r="J51" s="68"/>
      <c r="K51" s="69"/>
    </row>
    <row r="52" ht="15.75" customHeight="1">
      <c r="A52" s="37"/>
      <c r="B52" s="31" t="s">
        <v>92</v>
      </c>
      <c r="C52" s="33" t="s">
        <v>30</v>
      </c>
      <c r="D52" s="34" t="s">
        <v>38</v>
      </c>
      <c r="E52" s="35"/>
      <c r="F52" s="35"/>
      <c r="G52" s="35"/>
      <c r="H52" s="35"/>
      <c r="I52" s="35"/>
      <c r="J52" s="35"/>
      <c r="K52" s="36"/>
    </row>
    <row r="53" ht="15.75" customHeight="1">
      <c r="A53" s="37"/>
      <c r="B53" s="70" t="s">
        <v>52</v>
      </c>
      <c r="C53" s="11"/>
      <c r="D53" s="34" t="s">
        <v>58</v>
      </c>
      <c r="E53" s="36"/>
      <c r="F53" s="34" t="s">
        <v>60</v>
      </c>
      <c r="G53" s="36"/>
      <c r="H53" s="34" t="s">
        <v>93</v>
      </c>
      <c r="I53" s="36"/>
      <c r="J53" s="34" t="s">
        <v>13</v>
      </c>
      <c r="K53" s="36"/>
    </row>
    <row r="54" ht="25.5" customHeight="1">
      <c r="A54" s="37"/>
      <c r="B54" s="42" t="str">
        <f>RUBRICA!A7</f>
        <v>3. Relaciona el Proyecto APT con sus intereses profesionales. *</v>
      </c>
      <c r="C54" s="44" t="s">
        <v>58</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37"/>
      <c r="B55" s="42" t="str">
        <f>RUBRICA!A15</f>
        <v>11. Expone el tema utilizando un lenguaje técnico disciplinar al presentar la propuesta y responde evidenciando un manejo de la información. *</v>
      </c>
      <c r="C55" s="44" t="s">
        <v>58</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37"/>
      <c r="B56" s="42" t="str">
        <f>RUBRICA!A17</f>
        <v>13. Colaboración y trabajo en equipo *</v>
      </c>
      <c r="C56" s="44" t="s">
        <v>58</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37"/>
      <c r="B57" s="71" t="s">
        <v>94</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1"/>
      <c r="B58" s="73" t="s">
        <v>3</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4" t="s">
        <v>2</v>
      </c>
      <c r="B2" s="8" t="s">
        <v>5</v>
      </c>
      <c r="C2" s="10"/>
      <c r="D2" s="10"/>
      <c r="E2" s="13"/>
      <c r="F2" s="4" t="s">
        <v>9</v>
      </c>
    </row>
    <row r="3">
      <c r="A3" s="15"/>
      <c r="B3" s="16" t="s">
        <v>10</v>
      </c>
      <c r="C3" s="16" t="s">
        <v>11</v>
      </c>
      <c r="D3" s="18" t="s">
        <v>12</v>
      </c>
      <c r="E3" s="19" t="s">
        <v>13</v>
      </c>
      <c r="F3" s="15"/>
    </row>
    <row r="4" ht="57.0" customHeight="1">
      <c r="A4" s="20"/>
      <c r="B4" s="20"/>
      <c r="C4" s="20"/>
      <c r="D4" s="22">
        <v>-0.3</v>
      </c>
      <c r="E4" s="22">
        <v>0.0</v>
      </c>
      <c r="F4" s="20"/>
    </row>
    <row r="5">
      <c r="A5" s="23" t="s">
        <v>14</v>
      </c>
      <c r="B5" s="24" t="s">
        <v>15</v>
      </c>
      <c r="C5" s="24" t="s">
        <v>16</v>
      </c>
      <c r="D5" s="24" t="s">
        <v>17</v>
      </c>
      <c r="E5" s="24" t="s">
        <v>18</v>
      </c>
      <c r="F5" s="25">
        <v>10.0</v>
      </c>
    </row>
    <row r="6">
      <c r="A6" s="26" t="s">
        <v>19</v>
      </c>
      <c r="B6" s="26" t="s">
        <v>20</v>
      </c>
      <c r="C6" s="26" t="s">
        <v>21</v>
      </c>
      <c r="D6" s="26" t="s">
        <v>22</v>
      </c>
      <c r="E6" s="27" t="s">
        <v>23</v>
      </c>
      <c r="F6" s="28">
        <v>5.0</v>
      </c>
    </row>
    <row r="7" ht="94.5" customHeight="1">
      <c r="A7" s="29" t="s">
        <v>25</v>
      </c>
      <c r="B7" s="29" t="s">
        <v>26</v>
      </c>
      <c r="C7" s="29" t="s">
        <v>27</v>
      </c>
      <c r="D7" s="29" t="s">
        <v>28</v>
      </c>
      <c r="E7" s="29" t="s">
        <v>29</v>
      </c>
      <c r="F7" s="32">
        <v>10.0</v>
      </c>
    </row>
    <row r="8">
      <c r="A8" s="29" t="s">
        <v>31</v>
      </c>
      <c r="B8" s="29" t="s">
        <v>32</v>
      </c>
      <c r="C8" s="29" t="s">
        <v>33</v>
      </c>
      <c r="D8" s="29" t="s">
        <v>34</v>
      </c>
      <c r="E8" s="29" t="s">
        <v>35</v>
      </c>
      <c r="F8" s="32">
        <v>5.0</v>
      </c>
    </row>
    <row r="9" ht="65.25" customHeight="1">
      <c r="A9" s="23" t="s">
        <v>36</v>
      </c>
      <c r="B9" s="24" t="s">
        <v>37</v>
      </c>
      <c r="C9" s="24" t="s">
        <v>39</v>
      </c>
      <c r="D9" s="24" t="s">
        <v>40</v>
      </c>
      <c r="E9" s="24" t="s">
        <v>41</v>
      </c>
      <c r="F9" s="25">
        <v>5.0</v>
      </c>
    </row>
    <row r="10">
      <c r="A10" s="23" t="s">
        <v>42</v>
      </c>
      <c r="B10" s="24" t="s">
        <v>43</v>
      </c>
      <c r="C10" s="24" t="s">
        <v>44</v>
      </c>
      <c r="D10" s="24" t="s">
        <v>45</v>
      </c>
      <c r="E10" s="24" t="s">
        <v>46</v>
      </c>
      <c r="F10" s="25">
        <v>10.0</v>
      </c>
    </row>
    <row r="11">
      <c r="A11" s="26" t="s">
        <v>47</v>
      </c>
      <c r="B11" s="26" t="s">
        <v>48</v>
      </c>
      <c r="C11" s="26" t="s">
        <v>49</v>
      </c>
      <c r="D11" s="26" t="s">
        <v>50</v>
      </c>
      <c r="E11" s="26" t="s">
        <v>51</v>
      </c>
      <c r="F11" s="28">
        <v>10.0</v>
      </c>
    </row>
    <row r="12">
      <c r="A12" s="39" t="s">
        <v>53</v>
      </c>
      <c r="B12" s="27" t="s">
        <v>54</v>
      </c>
      <c r="C12" s="27" t="s">
        <v>55</v>
      </c>
      <c r="D12" s="27" t="s">
        <v>56</v>
      </c>
      <c r="E12" s="27" t="s">
        <v>57</v>
      </c>
      <c r="F12" s="40">
        <v>5.0</v>
      </c>
    </row>
    <row r="13" ht="93.75" customHeight="1">
      <c r="A13" s="29" t="s">
        <v>59</v>
      </c>
      <c r="B13" s="29" t="s">
        <v>61</v>
      </c>
      <c r="C13" s="29" t="s">
        <v>63</v>
      </c>
      <c r="D13" s="29" t="s">
        <v>64</v>
      </c>
      <c r="E13" s="29" t="s">
        <v>65</v>
      </c>
      <c r="F13" s="41">
        <v>5.0</v>
      </c>
    </row>
    <row r="14">
      <c r="A14" s="29" t="s">
        <v>66</v>
      </c>
      <c r="B14" s="29" t="s">
        <v>67</v>
      </c>
      <c r="C14" s="29" t="s">
        <v>68</v>
      </c>
      <c r="D14" s="29" t="s">
        <v>69</v>
      </c>
      <c r="E14" s="29" t="s">
        <v>70</v>
      </c>
      <c r="F14" s="41">
        <v>5.0</v>
      </c>
    </row>
    <row r="15">
      <c r="A15" s="23" t="s">
        <v>71</v>
      </c>
      <c r="B15" s="24" t="s">
        <v>72</v>
      </c>
      <c r="C15" s="24" t="s">
        <v>73</v>
      </c>
      <c r="D15" s="24" t="s">
        <v>74</v>
      </c>
      <c r="E15" s="24" t="s">
        <v>75</v>
      </c>
      <c r="F15" s="25">
        <v>10.0</v>
      </c>
    </row>
    <row r="16">
      <c r="A16" s="23" t="s">
        <v>76</v>
      </c>
      <c r="B16" s="24" t="s">
        <v>77</v>
      </c>
      <c r="C16" s="24" t="s">
        <v>78</v>
      </c>
      <c r="D16" s="24" t="s">
        <v>79</v>
      </c>
      <c r="E16" s="24" t="s">
        <v>80</v>
      </c>
      <c r="F16" s="25">
        <v>10.0</v>
      </c>
    </row>
    <row r="17">
      <c r="A17" s="23" t="s">
        <v>81</v>
      </c>
      <c r="B17" s="24" t="s">
        <v>82</v>
      </c>
      <c r="C17" s="24" t="s">
        <v>83</v>
      </c>
      <c r="D17" s="24" t="s">
        <v>84</v>
      </c>
      <c r="E17" s="24" t="s">
        <v>85</v>
      </c>
      <c r="F17" s="25">
        <v>10.0</v>
      </c>
    </row>
    <row r="18">
      <c r="A18" s="43" t="s">
        <v>86</v>
      </c>
      <c r="B18" s="10"/>
      <c r="C18" s="10"/>
      <c r="D18" s="10"/>
      <c r="E18" s="13"/>
      <c r="F18" s="4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6">
        <v>1.0</v>
      </c>
    </row>
    <row r="3">
      <c r="A3" s="1">
        <v>1.0</v>
      </c>
      <c r="B3" s="6">
        <v>1.1</v>
      </c>
    </row>
    <row r="4">
      <c r="A4" s="1">
        <v>2.0</v>
      </c>
      <c r="B4" s="6">
        <v>1.2</v>
      </c>
    </row>
    <row r="5">
      <c r="A5" s="1">
        <v>3.0</v>
      </c>
      <c r="B5" s="6">
        <v>1.3</v>
      </c>
    </row>
    <row r="6">
      <c r="A6" s="1">
        <v>4.0</v>
      </c>
      <c r="B6" s="6">
        <v>1.4</v>
      </c>
    </row>
    <row r="7">
      <c r="A7" s="1">
        <v>5.0</v>
      </c>
      <c r="B7" s="6">
        <v>1.5</v>
      </c>
    </row>
    <row r="8">
      <c r="A8" s="1">
        <v>6.0</v>
      </c>
      <c r="B8" s="6">
        <v>1.6</v>
      </c>
    </row>
    <row r="9">
      <c r="A9" s="1">
        <v>7.0</v>
      </c>
      <c r="B9" s="6">
        <v>1.7</v>
      </c>
    </row>
    <row r="10">
      <c r="A10" s="1">
        <v>8.0</v>
      </c>
      <c r="B10" s="6">
        <v>1.8</v>
      </c>
    </row>
    <row r="11">
      <c r="A11" s="1">
        <v>9.0</v>
      </c>
      <c r="B11" s="6">
        <v>1.9</v>
      </c>
    </row>
    <row r="12">
      <c r="A12" s="1">
        <v>10.0</v>
      </c>
      <c r="B12" s="6">
        <v>2.0</v>
      </c>
    </row>
    <row r="13">
      <c r="A13" s="1">
        <v>11.0</v>
      </c>
      <c r="B13" s="6">
        <v>2.1</v>
      </c>
    </row>
    <row r="14">
      <c r="A14" s="1">
        <v>12.0</v>
      </c>
      <c r="B14" s="6">
        <v>2.2</v>
      </c>
    </row>
    <row r="15">
      <c r="A15" s="1">
        <v>13.0</v>
      </c>
      <c r="B15" s="6">
        <v>2.3</v>
      </c>
    </row>
    <row r="16">
      <c r="A16" s="1">
        <v>14.0</v>
      </c>
      <c r="B16" s="6">
        <v>2.3</v>
      </c>
    </row>
    <row r="17">
      <c r="A17" s="1">
        <v>15.0</v>
      </c>
      <c r="B17" s="6">
        <v>2.4</v>
      </c>
    </row>
    <row r="18">
      <c r="A18" s="1">
        <v>16.0</v>
      </c>
      <c r="B18" s="6">
        <v>2.5</v>
      </c>
    </row>
    <row r="19">
      <c r="A19" s="1">
        <v>17.0</v>
      </c>
      <c r="B19" s="6">
        <v>2.6</v>
      </c>
    </row>
    <row r="20">
      <c r="A20" s="1">
        <v>18.0</v>
      </c>
      <c r="B20" s="6">
        <v>2.7</v>
      </c>
    </row>
    <row r="21" ht="15.75" customHeight="1">
      <c r="A21" s="1">
        <v>19.0</v>
      </c>
      <c r="B21" s="6">
        <v>2.8</v>
      </c>
    </row>
    <row r="22" ht="15.75" customHeight="1">
      <c r="A22" s="1">
        <v>20.0</v>
      </c>
      <c r="B22" s="6">
        <v>2.9</v>
      </c>
    </row>
    <row r="23" ht="15.75" customHeight="1">
      <c r="A23" s="1">
        <v>21.0</v>
      </c>
      <c r="B23" s="6">
        <v>3.0</v>
      </c>
    </row>
    <row r="24" ht="15.75" customHeight="1">
      <c r="A24" s="1">
        <v>22.0</v>
      </c>
      <c r="B24" s="6">
        <v>3.1</v>
      </c>
    </row>
    <row r="25" ht="15.75" customHeight="1">
      <c r="A25" s="1">
        <v>23.0</v>
      </c>
      <c r="B25" s="6">
        <v>3.2</v>
      </c>
    </row>
    <row r="26" ht="15.75" customHeight="1">
      <c r="A26" s="1">
        <v>24.0</v>
      </c>
      <c r="B26" s="6">
        <v>3.3</v>
      </c>
    </row>
    <row r="27" ht="15.75" customHeight="1">
      <c r="A27" s="1">
        <v>25.0</v>
      </c>
      <c r="B27" s="6">
        <v>3.4</v>
      </c>
    </row>
    <row r="28" ht="15.75" customHeight="1">
      <c r="A28" s="1">
        <v>26.0</v>
      </c>
      <c r="B28" s="6">
        <v>3.5</v>
      </c>
    </row>
    <row r="29" ht="15.75" customHeight="1">
      <c r="A29" s="1">
        <v>27.0</v>
      </c>
      <c r="B29" s="6">
        <v>3.6</v>
      </c>
    </row>
    <row r="30" ht="15.75" customHeight="1">
      <c r="A30" s="1">
        <v>28.0</v>
      </c>
      <c r="B30" s="6">
        <v>3.7</v>
      </c>
    </row>
    <row r="31" ht="15.75" customHeight="1">
      <c r="A31" s="1">
        <v>29.0</v>
      </c>
      <c r="B31" s="6">
        <v>3.8</v>
      </c>
    </row>
    <row r="32" ht="15.75" customHeight="1">
      <c r="A32" s="1">
        <v>30.0</v>
      </c>
      <c r="B32" s="6">
        <v>3.9</v>
      </c>
    </row>
    <row r="33" ht="15.75" customHeight="1">
      <c r="A33" s="1">
        <v>31.0</v>
      </c>
      <c r="B33" s="6">
        <v>4.0</v>
      </c>
    </row>
    <row r="34" ht="15.75" customHeight="1">
      <c r="A34" s="1">
        <v>32.0</v>
      </c>
      <c r="B34" s="6">
        <v>4.1</v>
      </c>
    </row>
    <row r="35" ht="15.75" customHeight="1">
      <c r="A35" s="1">
        <v>33.0</v>
      </c>
      <c r="B35" s="6">
        <v>4.3</v>
      </c>
    </row>
    <row r="36" ht="15.75" customHeight="1">
      <c r="A36" s="1">
        <v>34.0</v>
      </c>
      <c r="B36" s="6">
        <v>4.4</v>
      </c>
    </row>
    <row r="37" ht="15.75" customHeight="1">
      <c r="A37" s="1">
        <v>35.0</v>
      </c>
      <c r="B37" s="6">
        <v>4.5</v>
      </c>
    </row>
    <row r="38" ht="15.75" customHeight="1">
      <c r="A38" s="1">
        <v>36.0</v>
      </c>
      <c r="B38" s="6">
        <v>4.7</v>
      </c>
    </row>
    <row r="39" ht="15.75" customHeight="1">
      <c r="A39" s="1">
        <v>37.0</v>
      </c>
      <c r="B39" s="6">
        <v>4.8</v>
      </c>
    </row>
    <row r="40" ht="15.75" customHeight="1">
      <c r="A40" s="1">
        <v>38.0</v>
      </c>
      <c r="B40" s="6">
        <v>5.0</v>
      </c>
    </row>
    <row r="41" ht="15.75" customHeight="1">
      <c r="A41" s="1">
        <v>39.0</v>
      </c>
      <c r="B41" s="6">
        <v>5.1</v>
      </c>
    </row>
    <row r="42" ht="15.75" customHeight="1">
      <c r="A42" s="1">
        <v>40.0</v>
      </c>
      <c r="B42" s="6">
        <v>5.3</v>
      </c>
    </row>
    <row r="43" ht="15.75" customHeight="1">
      <c r="A43" s="1">
        <v>41.0</v>
      </c>
      <c r="B43" s="6">
        <v>5.4</v>
      </c>
    </row>
    <row r="44" ht="15.75" customHeight="1">
      <c r="A44" s="1">
        <v>42.0</v>
      </c>
      <c r="B44" s="6">
        <v>5.6</v>
      </c>
    </row>
    <row r="45" ht="15.75" customHeight="1">
      <c r="A45" s="1">
        <v>43.0</v>
      </c>
      <c r="B45" s="6">
        <v>5.7</v>
      </c>
    </row>
    <row r="46" ht="15.75" customHeight="1">
      <c r="A46" s="1">
        <v>44.0</v>
      </c>
      <c r="B46" s="6">
        <v>5.8</v>
      </c>
    </row>
    <row r="47" ht="15.75" customHeight="1">
      <c r="A47" s="1">
        <v>45.0</v>
      </c>
      <c r="B47" s="6">
        <v>6.0</v>
      </c>
    </row>
    <row r="48" ht="15.75" customHeight="1">
      <c r="A48" s="1">
        <v>46.0</v>
      </c>
      <c r="B48" s="6">
        <v>6.1</v>
      </c>
    </row>
    <row r="49" ht="15.75" customHeight="1">
      <c r="A49" s="1">
        <v>47.0</v>
      </c>
      <c r="B49" s="6">
        <v>6.3</v>
      </c>
    </row>
    <row r="50" ht="15.75" customHeight="1">
      <c r="A50" s="1">
        <v>48.0</v>
      </c>
      <c r="B50" s="6">
        <v>6.4</v>
      </c>
    </row>
    <row r="51" ht="15.75" customHeight="1">
      <c r="A51" s="1">
        <v>49.0</v>
      </c>
      <c r="B51" s="6">
        <v>6.6</v>
      </c>
    </row>
    <row r="52" ht="15.75" customHeight="1">
      <c r="A52" s="1">
        <v>50.0</v>
      </c>
      <c r="B52" s="6">
        <v>6.7</v>
      </c>
    </row>
    <row r="53" ht="15.75" customHeight="1">
      <c r="A53" s="1">
        <v>51.0</v>
      </c>
      <c r="B53" s="6">
        <v>6.9</v>
      </c>
    </row>
    <row r="54" ht="15.75" customHeight="1">
      <c r="A54" s="1">
        <v>52.0</v>
      </c>
      <c r="B54" s="6">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87</v>
      </c>
      <c r="B1" s="48" t="s">
        <v>0</v>
      </c>
      <c r="C1" s="49"/>
      <c r="D1" s="49"/>
      <c r="E1" s="50"/>
    </row>
    <row r="2">
      <c r="A2" s="51"/>
      <c r="B2" s="52" t="s">
        <v>58</v>
      </c>
      <c r="C2" s="53" t="s">
        <v>60</v>
      </c>
      <c r="D2" s="53" t="s">
        <v>88</v>
      </c>
      <c r="E2" s="54" t="s">
        <v>13</v>
      </c>
    </row>
    <row r="3">
      <c r="A3" s="55" t="s">
        <v>89</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